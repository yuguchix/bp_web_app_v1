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C:\Users\yuguchi\Desktop\"/>
    </mc:Choice>
  </mc:AlternateContent>
  <xr:revisionPtr revIDLastSave="19" documentId="13_ncr:1_{1DFACBA5-1F8D-4302-A244-B0AC9BFF6C7A}" xr6:coauthVersionLast="47" xr6:coauthVersionMax="47" xr10:uidLastSave="{89FC44CD-11B1-492F-AC22-21AC2E632EB3}"/>
  <bookViews>
    <workbookView xWindow="38280" yWindow="-120" windowWidth="29040" windowHeight="15720" firstSheet="1" xr2:uid="{319C58EB-1370-4A79-BAC4-7BE67C18880D}"/>
  </bookViews>
  <sheets>
    <sheet name="記録" sheetId="1" r:id="rId1"/>
    <sheet name="グラフ" sheetId="3" r:id="rId2"/>
    <sheet name="集計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9" i="3" l="1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C8" i="2"/>
  <c r="C7" i="2"/>
  <c r="C6" i="2"/>
  <c r="C5" i="2"/>
  <c r="C4" i="2"/>
  <c r="C3" i="2"/>
  <c r="E38" i="3"/>
  <c r="D38" i="3"/>
  <c r="C38" i="3"/>
  <c r="A38" i="3"/>
  <c r="E37" i="3"/>
  <c r="D37" i="3"/>
  <c r="C37" i="3"/>
  <c r="A37" i="3"/>
  <c r="E36" i="3"/>
  <c r="D36" i="3"/>
  <c r="C36" i="3"/>
  <c r="A36" i="3"/>
  <c r="E35" i="3"/>
  <c r="D35" i="3"/>
  <c r="C35" i="3"/>
  <c r="A35" i="3"/>
  <c r="E34" i="3"/>
  <c r="D34" i="3"/>
  <c r="C34" i="3"/>
  <c r="A34" i="3"/>
  <c r="E33" i="3"/>
  <c r="D33" i="3"/>
  <c r="C33" i="3"/>
  <c r="A33" i="3"/>
  <c r="E32" i="3"/>
  <c r="D32" i="3"/>
  <c r="C32" i="3"/>
  <c r="A32" i="3"/>
  <c r="E31" i="3"/>
  <c r="D31" i="3"/>
  <c r="C31" i="3"/>
  <c r="A31" i="3"/>
  <c r="E30" i="3"/>
  <c r="D30" i="3"/>
  <c r="C30" i="3"/>
  <c r="A30" i="3"/>
  <c r="E29" i="3"/>
  <c r="D29" i="3"/>
  <c r="C29" i="3"/>
  <c r="A29" i="3"/>
  <c r="E28" i="3"/>
  <c r="D28" i="3"/>
  <c r="C28" i="3"/>
  <c r="A28" i="3"/>
  <c r="E27" i="3"/>
  <c r="D27" i="3"/>
  <c r="C27" i="3"/>
  <c r="A27" i="3"/>
  <c r="E26" i="3"/>
  <c r="D26" i="3"/>
  <c r="C26" i="3"/>
  <c r="A26" i="3"/>
  <c r="E25" i="3"/>
  <c r="D25" i="3"/>
  <c r="C25" i="3"/>
  <c r="A25" i="3"/>
  <c r="E24" i="3"/>
  <c r="D24" i="3"/>
  <c r="C24" i="3"/>
  <c r="A24" i="3"/>
  <c r="E23" i="3"/>
  <c r="D23" i="3"/>
  <c r="C23" i="3"/>
  <c r="A23" i="3"/>
  <c r="E22" i="3"/>
  <c r="D22" i="3"/>
  <c r="C22" i="3"/>
  <c r="A22" i="3"/>
  <c r="E21" i="3"/>
  <c r="D21" i="3"/>
  <c r="C21" i="3"/>
  <c r="A21" i="3"/>
  <c r="E20" i="3"/>
  <c r="D20" i="3"/>
  <c r="C20" i="3"/>
  <c r="A20" i="3"/>
  <c r="E19" i="3"/>
  <c r="D19" i="3"/>
  <c r="C19" i="3"/>
  <c r="A19" i="3"/>
  <c r="E18" i="3"/>
  <c r="D18" i="3"/>
  <c r="C18" i="3"/>
  <c r="A18" i="3"/>
  <c r="E17" i="3"/>
  <c r="D17" i="3"/>
  <c r="C17" i="3"/>
  <c r="B17" i="3"/>
  <c r="A17" i="3"/>
  <c r="E16" i="3"/>
  <c r="D16" i="3"/>
  <c r="C16" i="3"/>
  <c r="B16" i="3"/>
  <c r="A16" i="3"/>
  <c r="E15" i="3"/>
  <c r="D15" i="3"/>
  <c r="B15" i="3"/>
  <c r="A15" i="3"/>
  <c r="E14" i="3"/>
  <c r="D14" i="3"/>
  <c r="C14" i="3"/>
  <c r="B14" i="3"/>
  <c r="A14" i="3"/>
  <c r="E13" i="3"/>
  <c r="D13" i="3"/>
  <c r="C13" i="3"/>
  <c r="B13" i="3"/>
  <c r="A13" i="3"/>
  <c r="E12" i="3"/>
  <c r="D12" i="3"/>
  <c r="C12" i="3"/>
  <c r="B12" i="3"/>
  <c r="A12" i="3"/>
  <c r="E11" i="3"/>
  <c r="D11" i="3"/>
  <c r="C11" i="3"/>
  <c r="B11" i="3"/>
  <c r="A11" i="3"/>
  <c r="E10" i="3"/>
  <c r="D10" i="3"/>
  <c r="C10" i="3"/>
  <c r="B10" i="3"/>
  <c r="A10" i="3"/>
  <c r="E9" i="3"/>
  <c r="D9" i="3"/>
  <c r="C9" i="3"/>
  <c r="B9" i="3"/>
  <c r="A9" i="3"/>
  <c r="E8" i="3"/>
  <c r="D8" i="3"/>
  <c r="C8" i="3"/>
  <c r="B8" i="3"/>
  <c r="A8" i="3"/>
  <c r="E7" i="3"/>
  <c r="D7" i="3"/>
  <c r="C7" i="3"/>
  <c r="B7" i="3"/>
  <c r="A7" i="3"/>
  <c r="E6" i="3"/>
  <c r="D6" i="3"/>
  <c r="C6" i="3"/>
  <c r="B6" i="3"/>
  <c r="A6" i="3"/>
  <c r="E5" i="3"/>
  <c r="D5" i="3"/>
  <c r="C5" i="3"/>
  <c r="B5" i="3"/>
  <c r="A5" i="3"/>
  <c r="E4" i="3"/>
  <c r="D4" i="3"/>
  <c r="C4" i="3"/>
  <c r="B4" i="3"/>
  <c r="A4" i="3"/>
  <c r="E3" i="3"/>
  <c r="D3" i="3"/>
  <c r="C3" i="3"/>
  <c r="B3" i="3"/>
  <c r="A3" i="3"/>
  <c r="E2" i="3"/>
  <c r="D2" i="3"/>
  <c r="C2" i="3"/>
  <c r="B2" i="3"/>
  <c r="A2" i="3"/>
  <c r="C15" i="3"/>
</calcChain>
</file>

<file path=xl/sharedStrings.xml><?xml version="1.0" encoding="utf-8"?>
<sst xmlns="http://schemas.openxmlformats.org/spreadsheetml/2006/main" count="51" uniqueCount="26">
  <si>
    <t>日付</t>
    <rPh sb="0" eb="2">
      <t>ヒヅケ</t>
    </rPh>
    <phoneticPr fontId="1"/>
  </si>
  <si>
    <t>時間</t>
    <rPh sb="0" eb="2">
      <t>ジカン</t>
    </rPh>
    <phoneticPr fontId="1"/>
  </si>
  <si>
    <t>最高血圧</t>
    <rPh sb="0" eb="4">
      <t>サイコウケツアツ</t>
    </rPh>
    <phoneticPr fontId="1"/>
  </si>
  <si>
    <t>最低血圧</t>
    <rPh sb="0" eb="4">
      <t>サイテイケツアツ</t>
    </rPh>
    <phoneticPr fontId="1"/>
  </si>
  <si>
    <t>心拍数</t>
    <rPh sb="0" eb="3">
      <t>シンパクスウ</t>
    </rPh>
    <phoneticPr fontId="1"/>
  </si>
  <si>
    <t>服薬</t>
  </si>
  <si>
    <t>メモ</t>
    <phoneticPr fontId="1"/>
  </si>
  <si>
    <t>朝</t>
    <rPh sb="0" eb="1">
      <t>アサ</t>
    </rPh>
    <phoneticPr fontId="1"/>
  </si>
  <si>
    <t>○</t>
  </si>
  <si>
    <t>晩</t>
    <rPh sb="0" eb="1">
      <t>バン</t>
    </rPh>
    <phoneticPr fontId="1"/>
  </si>
  <si>
    <t>△</t>
  </si>
  <si>
    <t>薬間違えた</t>
  </si>
  <si>
    <t>夜酒</t>
  </si>
  <si>
    <t>日付</t>
  </si>
  <si>
    <t>朝最高</t>
  </si>
  <si>
    <t>朝最低</t>
  </si>
  <si>
    <t>夜最高</t>
  </si>
  <si>
    <t>夜最低</t>
  </si>
  <si>
    <t>項目</t>
  </si>
  <si>
    <t>値</t>
  </si>
  <si>
    <t>朝最高血圧平均</t>
  </si>
  <si>
    <t>朝最低血圧平均</t>
  </si>
  <si>
    <t>朝心拍数平均</t>
  </si>
  <si>
    <t>夜最高血圧平均</t>
  </si>
  <si>
    <t>夜最低血圧平均</t>
  </si>
  <si>
    <t>夜心拍数平均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</si>
</sst>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"/>
  </numFmts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name val="游ゴシック"/>
      <family val="3"/>
      <charset val="128"/>
    </font>
    <font>
      <sz val="11"/>
      <color rgb="FF00000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0" fillId="0" borderId="1" xfId="0" applyBorder="1">
      <alignment vertical="center"/>
    </xf>
    <xf numFmtId="20" fontId="0" fillId="0" borderId="1" xfId="0" applyNumberForma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176" fontId="0" fillId="0" borderId="0" xfId="0" applyNumberFormat="1">
      <alignment vertical="center"/>
    </xf>
    <xf numFmtId="0" fontId="0" fillId="0" borderId="15" xfId="0" applyBorder="1">
      <alignment vertical="center"/>
    </xf>
    <xf numFmtId="20" fontId="0" fillId="0" borderId="16" xfId="0" applyNumberFormat="1" applyBorder="1">
      <alignment vertical="center"/>
    </xf>
    <xf numFmtId="0" fontId="0" fillId="0" borderId="16" xfId="0" applyBorder="1">
      <alignment vertical="center"/>
    </xf>
    <xf numFmtId="176" fontId="0" fillId="0" borderId="17" xfId="0" applyNumberFormat="1" applyBorder="1">
      <alignment vertical="center"/>
    </xf>
    <xf numFmtId="0" fontId="0" fillId="0" borderId="18" xfId="0" applyBorder="1">
      <alignment vertical="center"/>
    </xf>
    <xf numFmtId="176" fontId="0" fillId="0" borderId="19" xfId="0" applyNumberFormat="1" applyBorder="1">
      <alignment vertical="center"/>
    </xf>
    <xf numFmtId="0" fontId="0" fillId="0" borderId="20" xfId="0" applyBorder="1">
      <alignment vertical="center"/>
    </xf>
    <xf numFmtId="176" fontId="0" fillId="0" borderId="21" xfId="0" applyNumberFormat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20" fontId="0" fillId="0" borderId="26" xfId="0" applyNumberFormat="1" applyBorder="1">
      <alignment vertical="center"/>
    </xf>
    <xf numFmtId="20" fontId="0" fillId="0" borderId="15" xfId="0" applyNumberFormat="1" applyBorder="1">
      <alignment vertical="center"/>
    </xf>
    <xf numFmtId="0" fontId="0" fillId="0" borderId="27" xfId="0" applyBorder="1">
      <alignment vertical="center"/>
    </xf>
    <xf numFmtId="0" fontId="0" fillId="3" borderId="12" xfId="0" applyFill="1" applyBorder="1">
      <alignment vertical="center"/>
    </xf>
    <xf numFmtId="0" fontId="0" fillId="3" borderId="13" xfId="0" applyFill="1" applyBorder="1">
      <alignment vertical="center"/>
    </xf>
    <xf numFmtId="0" fontId="0" fillId="3" borderId="24" xfId="0" applyFill="1" applyBorder="1">
      <alignment vertical="center"/>
    </xf>
    <xf numFmtId="0" fontId="0" fillId="4" borderId="25" xfId="0" applyFill="1" applyBorder="1">
      <alignment vertical="center"/>
    </xf>
    <xf numFmtId="0" fontId="0" fillId="4" borderId="13" xfId="0" applyFill="1" applyBorder="1">
      <alignment vertical="center"/>
    </xf>
    <xf numFmtId="0" fontId="3" fillId="4" borderId="14" xfId="0" applyFont="1" applyFill="1" applyBorder="1" applyAlignment="1">
      <alignment vertical="center"/>
    </xf>
  </cellXfs>
  <cellStyles count="1">
    <cellStyle name="標準" xfId="0" builtinId="0"/>
  </cellStyles>
  <dxfs count="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FF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/>
              <a:t>血圧推移</a:t>
            </a:r>
          </a:p>
        </c:rich>
      </c:tx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グラフ!$B$1</c:f>
              <c:strCache>
                <c:ptCount val="1"/>
                <c:pt idx="0">
                  <c:v>朝最高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グラフ!$A$2:$A$38</c:f>
              <c:numCache>
                <c:formatCode>m/d</c:formatCode>
                <c:ptCount val="37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  <c:pt idx="3">
                  <c:v>46170</c:v>
                </c:pt>
                <c:pt idx="4">
                  <c:v>46171</c:v>
                </c:pt>
                <c:pt idx="5">
                  <c:v>46172</c:v>
                </c:pt>
                <c:pt idx="6">
                  <c:v>46173</c:v>
                </c:pt>
                <c:pt idx="7">
                  <c:v>46174</c:v>
                </c:pt>
                <c:pt idx="8">
                  <c:v>46175</c:v>
                </c:pt>
                <c:pt idx="9">
                  <c:v>46176</c:v>
                </c:pt>
                <c:pt idx="10">
                  <c:v>46177</c:v>
                </c:pt>
                <c:pt idx="11">
                  <c:v>46178</c:v>
                </c:pt>
                <c:pt idx="12">
                  <c:v>46179</c:v>
                </c:pt>
                <c:pt idx="13">
                  <c:v>46180</c:v>
                </c:pt>
                <c:pt idx="14">
                  <c:v>46181</c:v>
                </c:pt>
                <c:pt idx="15">
                  <c:v>46182</c:v>
                </c:pt>
                <c:pt idx="16">
                  <c:v>46183</c:v>
                </c:pt>
                <c:pt idx="17">
                  <c:v>46184</c:v>
                </c:pt>
                <c:pt idx="18">
                  <c:v>46185</c:v>
                </c:pt>
                <c:pt idx="19">
                  <c:v>46186</c:v>
                </c:pt>
                <c:pt idx="20">
                  <c:v>46187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46191</c:v>
                </c:pt>
                <c:pt idx="25">
                  <c:v>46192</c:v>
                </c:pt>
                <c:pt idx="26">
                  <c:v>46193</c:v>
                </c:pt>
                <c:pt idx="27">
                  <c:v>46194</c:v>
                </c:pt>
                <c:pt idx="28">
                  <c:v>46195</c:v>
                </c:pt>
                <c:pt idx="29">
                  <c:v>46196</c:v>
                </c:pt>
                <c:pt idx="30">
                  <c:v>46197</c:v>
                </c:pt>
                <c:pt idx="31">
                  <c:v>46198</c:v>
                </c:pt>
                <c:pt idx="32">
                  <c:v>46199</c:v>
                </c:pt>
                <c:pt idx="33">
                  <c:v>46200</c:v>
                </c:pt>
                <c:pt idx="34">
                  <c:v>46201</c:v>
                </c:pt>
                <c:pt idx="35">
                  <c:v>46202</c:v>
                </c:pt>
                <c:pt idx="36">
                  <c:v>46203</c:v>
                </c:pt>
              </c:numCache>
            </c:numRef>
          </c:cat>
          <c:val>
            <c:numRef>
              <c:f>グラフ!$B$2:$B$38</c:f>
              <c:numCache>
                <c:formatCode>General</c:formatCode>
                <c:ptCount val="37"/>
                <c:pt idx="0">
                  <c:v>137</c:v>
                </c:pt>
                <c:pt idx="1">
                  <c:v>137</c:v>
                </c:pt>
                <c:pt idx="2">
                  <c:v>143</c:v>
                </c:pt>
                <c:pt idx="3">
                  <c:v>115</c:v>
                </c:pt>
                <c:pt idx="4">
                  <c:v>105</c:v>
                </c:pt>
                <c:pt idx="5">
                  <c:v>113</c:v>
                </c:pt>
                <c:pt idx="6">
                  <c:v>112</c:v>
                </c:pt>
                <c:pt idx="7">
                  <c:v>132</c:v>
                </c:pt>
                <c:pt idx="8">
                  <c:v>101</c:v>
                </c:pt>
                <c:pt idx="9">
                  <c:v>110</c:v>
                </c:pt>
                <c:pt idx="10">
                  <c:v>123</c:v>
                </c:pt>
                <c:pt idx="11">
                  <c:v>107</c:v>
                </c:pt>
                <c:pt idx="12">
                  <c:v>105</c:v>
                </c:pt>
                <c:pt idx="13">
                  <c:v>105</c:v>
                </c:pt>
                <c:pt idx="14">
                  <c:v>130</c:v>
                </c:pt>
                <c:pt idx="15">
                  <c:v>120</c:v>
                </c:pt>
                <c:pt idx="16">
                  <c:v>90</c:v>
                </c:pt>
                <c:pt idx="17">
                  <c:v>114</c:v>
                </c:pt>
                <c:pt idx="18">
                  <c:v>119</c:v>
                </c:pt>
                <c:pt idx="19">
                  <c:v>118</c:v>
                </c:pt>
                <c:pt idx="20">
                  <c:v>123</c:v>
                </c:pt>
                <c:pt idx="21">
                  <c:v>117</c:v>
                </c:pt>
                <c:pt idx="22">
                  <c:v>117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5C-42D7-8E51-E9963EC8FBBB}"/>
            </c:ext>
          </c:extLst>
        </c:ser>
        <c:ser>
          <c:idx val="1"/>
          <c:order val="1"/>
          <c:tx>
            <c:strRef>
              <c:f>グラフ!$C$1</c:f>
              <c:strCache>
                <c:ptCount val="1"/>
                <c:pt idx="0">
                  <c:v>朝最低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グラフ!$A$2:$A$38</c:f>
              <c:numCache>
                <c:formatCode>m/d</c:formatCode>
                <c:ptCount val="37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  <c:pt idx="3">
                  <c:v>46170</c:v>
                </c:pt>
                <c:pt idx="4">
                  <c:v>46171</c:v>
                </c:pt>
                <c:pt idx="5">
                  <c:v>46172</c:v>
                </c:pt>
                <c:pt idx="6">
                  <c:v>46173</c:v>
                </c:pt>
                <c:pt idx="7">
                  <c:v>46174</c:v>
                </c:pt>
                <c:pt idx="8">
                  <c:v>46175</c:v>
                </c:pt>
                <c:pt idx="9">
                  <c:v>46176</c:v>
                </c:pt>
                <c:pt idx="10">
                  <c:v>46177</c:v>
                </c:pt>
                <c:pt idx="11">
                  <c:v>46178</c:v>
                </c:pt>
                <c:pt idx="12">
                  <c:v>46179</c:v>
                </c:pt>
                <c:pt idx="13">
                  <c:v>46180</c:v>
                </c:pt>
                <c:pt idx="14">
                  <c:v>46181</c:v>
                </c:pt>
                <c:pt idx="15">
                  <c:v>46182</c:v>
                </c:pt>
                <c:pt idx="16">
                  <c:v>46183</c:v>
                </c:pt>
                <c:pt idx="17">
                  <c:v>46184</c:v>
                </c:pt>
                <c:pt idx="18">
                  <c:v>46185</c:v>
                </c:pt>
                <c:pt idx="19">
                  <c:v>46186</c:v>
                </c:pt>
                <c:pt idx="20">
                  <c:v>46187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46191</c:v>
                </c:pt>
                <c:pt idx="25">
                  <c:v>46192</c:v>
                </c:pt>
                <c:pt idx="26">
                  <c:v>46193</c:v>
                </c:pt>
                <c:pt idx="27">
                  <c:v>46194</c:v>
                </c:pt>
                <c:pt idx="28">
                  <c:v>46195</c:v>
                </c:pt>
                <c:pt idx="29">
                  <c:v>46196</c:v>
                </c:pt>
                <c:pt idx="30">
                  <c:v>46197</c:v>
                </c:pt>
                <c:pt idx="31">
                  <c:v>46198</c:v>
                </c:pt>
                <c:pt idx="32">
                  <c:v>46199</c:v>
                </c:pt>
                <c:pt idx="33">
                  <c:v>46200</c:v>
                </c:pt>
                <c:pt idx="34">
                  <c:v>46201</c:v>
                </c:pt>
                <c:pt idx="35">
                  <c:v>46202</c:v>
                </c:pt>
                <c:pt idx="36">
                  <c:v>46203</c:v>
                </c:pt>
              </c:numCache>
            </c:numRef>
          </c:cat>
          <c:val>
            <c:numRef>
              <c:f>グラフ!$C$2:$C$38</c:f>
              <c:numCache>
                <c:formatCode>General</c:formatCode>
                <c:ptCount val="37"/>
                <c:pt idx="0">
                  <c:v>97</c:v>
                </c:pt>
                <c:pt idx="1">
                  <c:v>97</c:v>
                </c:pt>
                <c:pt idx="2">
                  <c:v>98</c:v>
                </c:pt>
                <c:pt idx="3">
                  <c:v>72</c:v>
                </c:pt>
                <c:pt idx="4">
                  <c:v>80</c:v>
                </c:pt>
                <c:pt idx="5">
                  <c:v>87</c:v>
                </c:pt>
                <c:pt idx="6">
                  <c:v>84</c:v>
                </c:pt>
                <c:pt idx="7">
                  <c:v>96</c:v>
                </c:pt>
                <c:pt idx="8">
                  <c:v>78</c:v>
                </c:pt>
                <c:pt idx="9">
                  <c:v>83</c:v>
                </c:pt>
                <c:pt idx="10">
                  <c:v>93</c:v>
                </c:pt>
                <c:pt idx="11">
                  <c:v>86</c:v>
                </c:pt>
                <c:pt idx="12">
                  <c:v>81</c:v>
                </c:pt>
                <c:pt idx="13">
                  <c:v>81</c:v>
                </c:pt>
                <c:pt idx="14">
                  <c:v>94</c:v>
                </c:pt>
                <c:pt idx="15">
                  <c:v>84</c:v>
                </c:pt>
                <c:pt idx="16">
                  <c:v>82</c:v>
                </c:pt>
                <c:pt idx="17">
                  <c:v>85</c:v>
                </c:pt>
                <c:pt idx="18">
                  <c:v>86</c:v>
                </c:pt>
                <c:pt idx="19">
                  <c:v>93</c:v>
                </c:pt>
                <c:pt idx="20">
                  <c:v>87</c:v>
                </c:pt>
                <c:pt idx="21">
                  <c:v>89</c:v>
                </c:pt>
                <c:pt idx="22">
                  <c:v>87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85C-42D7-8E51-E9963EC8FBBB}"/>
            </c:ext>
          </c:extLst>
        </c:ser>
        <c:ser>
          <c:idx val="2"/>
          <c:order val="2"/>
          <c:tx>
            <c:strRef>
              <c:f>グラフ!$D$1</c:f>
              <c:strCache>
                <c:ptCount val="1"/>
                <c:pt idx="0">
                  <c:v>夜最高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グラフ!$A$2:$A$38</c:f>
              <c:numCache>
                <c:formatCode>m/d</c:formatCode>
                <c:ptCount val="37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  <c:pt idx="3">
                  <c:v>46170</c:v>
                </c:pt>
                <c:pt idx="4">
                  <c:v>46171</c:v>
                </c:pt>
                <c:pt idx="5">
                  <c:v>46172</c:v>
                </c:pt>
                <c:pt idx="6">
                  <c:v>46173</c:v>
                </c:pt>
                <c:pt idx="7">
                  <c:v>46174</c:v>
                </c:pt>
                <c:pt idx="8">
                  <c:v>46175</c:v>
                </c:pt>
                <c:pt idx="9">
                  <c:v>46176</c:v>
                </c:pt>
                <c:pt idx="10">
                  <c:v>46177</c:v>
                </c:pt>
                <c:pt idx="11">
                  <c:v>46178</c:v>
                </c:pt>
                <c:pt idx="12">
                  <c:v>46179</c:v>
                </c:pt>
                <c:pt idx="13">
                  <c:v>46180</c:v>
                </c:pt>
                <c:pt idx="14">
                  <c:v>46181</c:v>
                </c:pt>
                <c:pt idx="15">
                  <c:v>46182</c:v>
                </c:pt>
                <c:pt idx="16">
                  <c:v>46183</c:v>
                </c:pt>
                <c:pt idx="17">
                  <c:v>46184</c:v>
                </c:pt>
                <c:pt idx="18">
                  <c:v>46185</c:v>
                </c:pt>
                <c:pt idx="19">
                  <c:v>46186</c:v>
                </c:pt>
                <c:pt idx="20">
                  <c:v>46187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46191</c:v>
                </c:pt>
                <c:pt idx="25">
                  <c:v>46192</c:v>
                </c:pt>
                <c:pt idx="26">
                  <c:v>46193</c:v>
                </c:pt>
                <c:pt idx="27">
                  <c:v>46194</c:v>
                </c:pt>
                <c:pt idx="28">
                  <c:v>46195</c:v>
                </c:pt>
                <c:pt idx="29">
                  <c:v>46196</c:v>
                </c:pt>
                <c:pt idx="30">
                  <c:v>46197</c:v>
                </c:pt>
                <c:pt idx="31">
                  <c:v>46198</c:v>
                </c:pt>
                <c:pt idx="32">
                  <c:v>46199</c:v>
                </c:pt>
                <c:pt idx="33">
                  <c:v>46200</c:v>
                </c:pt>
                <c:pt idx="34">
                  <c:v>46201</c:v>
                </c:pt>
                <c:pt idx="35">
                  <c:v>46202</c:v>
                </c:pt>
                <c:pt idx="36">
                  <c:v>46203</c:v>
                </c:pt>
              </c:numCache>
            </c:numRef>
          </c:cat>
          <c:val>
            <c:numRef>
              <c:f>グラフ!$D$2:$D$38</c:f>
              <c:numCache>
                <c:formatCode>General</c:formatCode>
                <c:ptCount val="37"/>
                <c:pt idx="0">
                  <c:v>146</c:v>
                </c:pt>
                <c:pt idx="1">
                  <c:v>135</c:v>
                </c:pt>
                <c:pt idx="2">
                  <c:v>127</c:v>
                </c:pt>
                <c:pt idx="3">
                  <c:v>115</c:v>
                </c:pt>
                <c:pt idx="4">
                  <c:v>114</c:v>
                </c:pt>
                <c:pt idx="5">
                  <c:v>123</c:v>
                </c:pt>
                <c:pt idx="6">
                  <c:v>140</c:v>
                </c:pt>
                <c:pt idx="7">
                  <c:v>123</c:v>
                </c:pt>
                <c:pt idx="8">
                  <c:v>112</c:v>
                </c:pt>
                <c:pt idx="9">
                  <c:v>91</c:v>
                </c:pt>
                <c:pt idx="10">
                  <c:v>120</c:v>
                </c:pt>
                <c:pt idx="11">
                  <c:v>111</c:v>
                </c:pt>
                <c:pt idx="12">
                  <c:v>111</c:v>
                </c:pt>
                <c:pt idx="13">
                  <c:v>139</c:v>
                </c:pt>
                <c:pt idx="14">
                  <c:v>112</c:v>
                </c:pt>
                <c:pt idx="15">
                  <c:v>77</c:v>
                </c:pt>
                <c:pt idx="16">
                  <c:v>117</c:v>
                </c:pt>
                <c:pt idx="17">
                  <c:v>117</c:v>
                </c:pt>
                <c:pt idx="18">
                  <c:v>126</c:v>
                </c:pt>
                <c:pt idx="19">
                  <c:v>116</c:v>
                </c:pt>
                <c:pt idx="20">
                  <c:v>117</c:v>
                </c:pt>
                <c:pt idx="21">
                  <c:v>130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5C-42D7-8E51-E9963EC8FBBB}"/>
            </c:ext>
          </c:extLst>
        </c:ser>
        <c:ser>
          <c:idx val="3"/>
          <c:order val="3"/>
          <c:tx>
            <c:strRef>
              <c:f>グラフ!$E$1</c:f>
              <c:strCache>
                <c:ptCount val="1"/>
                <c:pt idx="0">
                  <c:v>夜最低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グラフ!$A$2:$A$38</c:f>
              <c:numCache>
                <c:formatCode>m/d</c:formatCode>
                <c:ptCount val="37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  <c:pt idx="3">
                  <c:v>46170</c:v>
                </c:pt>
                <c:pt idx="4">
                  <c:v>46171</c:v>
                </c:pt>
                <c:pt idx="5">
                  <c:v>46172</c:v>
                </c:pt>
                <c:pt idx="6">
                  <c:v>46173</c:v>
                </c:pt>
                <c:pt idx="7">
                  <c:v>46174</c:v>
                </c:pt>
                <c:pt idx="8">
                  <c:v>46175</c:v>
                </c:pt>
                <c:pt idx="9">
                  <c:v>46176</c:v>
                </c:pt>
                <c:pt idx="10">
                  <c:v>46177</c:v>
                </c:pt>
                <c:pt idx="11">
                  <c:v>46178</c:v>
                </c:pt>
                <c:pt idx="12">
                  <c:v>46179</c:v>
                </c:pt>
                <c:pt idx="13">
                  <c:v>46180</c:v>
                </c:pt>
                <c:pt idx="14">
                  <c:v>46181</c:v>
                </c:pt>
                <c:pt idx="15">
                  <c:v>46182</c:v>
                </c:pt>
                <c:pt idx="16">
                  <c:v>46183</c:v>
                </c:pt>
                <c:pt idx="17">
                  <c:v>46184</c:v>
                </c:pt>
                <c:pt idx="18">
                  <c:v>46185</c:v>
                </c:pt>
                <c:pt idx="19">
                  <c:v>46186</c:v>
                </c:pt>
                <c:pt idx="20">
                  <c:v>46187</c:v>
                </c:pt>
                <c:pt idx="21">
                  <c:v>46188</c:v>
                </c:pt>
                <c:pt idx="22">
                  <c:v>46189</c:v>
                </c:pt>
                <c:pt idx="23">
                  <c:v>46190</c:v>
                </c:pt>
                <c:pt idx="24">
                  <c:v>46191</c:v>
                </c:pt>
                <c:pt idx="25">
                  <c:v>46192</c:v>
                </c:pt>
                <c:pt idx="26">
                  <c:v>46193</c:v>
                </c:pt>
                <c:pt idx="27">
                  <c:v>46194</c:v>
                </c:pt>
                <c:pt idx="28">
                  <c:v>46195</c:v>
                </c:pt>
                <c:pt idx="29">
                  <c:v>46196</c:v>
                </c:pt>
                <c:pt idx="30">
                  <c:v>46197</c:v>
                </c:pt>
                <c:pt idx="31">
                  <c:v>46198</c:v>
                </c:pt>
                <c:pt idx="32">
                  <c:v>46199</c:v>
                </c:pt>
                <c:pt idx="33">
                  <c:v>46200</c:v>
                </c:pt>
                <c:pt idx="34">
                  <c:v>46201</c:v>
                </c:pt>
                <c:pt idx="35">
                  <c:v>46202</c:v>
                </c:pt>
                <c:pt idx="36">
                  <c:v>46203</c:v>
                </c:pt>
              </c:numCache>
            </c:numRef>
          </c:cat>
          <c:val>
            <c:numRef>
              <c:f>グラフ!$E$2:$E$38</c:f>
              <c:numCache>
                <c:formatCode>General</c:formatCode>
                <c:ptCount val="37"/>
                <c:pt idx="0">
                  <c:v>93</c:v>
                </c:pt>
                <c:pt idx="1">
                  <c:v>102</c:v>
                </c:pt>
                <c:pt idx="2">
                  <c:v>92</c:v>
                </c:pt>
                <c:pt idx="3">
                  <c:v>80</c:v>
                </c:pt>
                <c:pt idx="4">
                  <c:v>80</c:v>
                </c:pt>
                <c:pt idx="5">
                  <c:v>89</c:v>
                </c:pt>
                <c:pt idx="6">
                  <c:v>91</c:v>
                </c:pt>
                <c:pt idx="7">
                  <c:v>88</c:v>
                </c:pt>
                <c:pt idx="8">
                  <c:v>87</c:v>
                </c:pt>
                <c:pt idx="9">
                  <c:v>68</c:v>
                </c:pt>
                <c:pt idx="10">
                  <c:v>80</c:v>
                </c:pt>
                <c:pt idx="11">
                  <c:v>83</c:v>
                </c:pt>
                <c:pt idx="12">
                  <c:v>83</c:v>
                </c:pt>
                <c:pt idx="13">
                  <c:v>99</c:v>
                </c:pt>
                <c:pt idx="14">
                  <c:v>79</c:v>
                </c:pt>
                <c:pt idx="15">
                  <c:v>55</c:v>
                </c:pt>
                <c:pt idx="16">
                  <c:v>84</c:v>
                </c:pt>
                <c:pt idx="17">
                  <c:v>84</c:v>
                </c:pt>
                <c:pt idx="18">
                  <c:v>85</c:v>
                </c:pt>
                <c:pt idx="19">
                  <c:v>79</c:v>
                </c:pt>
                <c:pt idx="20">
                  <c:v>83</c:v>
                </c:pt>
                <c:pt idx="21">
                  <c:v>93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85C-42D7-8E51-E9963EC8F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dateAx>
        <c:axId val="1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rgbClr val="D0D0D0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/>
                  <a:t>日付</a:t>
                </a:r>
              </a:p>
            </c:rich>
          </c:tx>
          <c:layout>
            <c:manualLayout>
              <c:xMode val="edge"/>
              <c:yMode val="edge"/>
              <c:x val="0.94353657407407421"/>
              <c:y val="0.92178587962962977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m/d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0"/>
        <c:crosses val="autoZero"/>
        <c:auto val="1"/>
        <c:lblOffset val="100"/>
        <c:baseTimeUnit val="day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mmHg</a:t>
                </a:r>
              </a:p>
            </c:rich>
          </c:tx>
          <c:layout>
            <c:manualLayout>
              <c:xMode val="edge"/>
              <c:yMode val="edge"/>
              <c:x val="8.819444444444444E-3"/>
              <c:y val="0.87462291666666669"/>
            </c:manualLayout>
          </c:layout>
          <c:overlay val="1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240186-3F07-4AB9-96FF-AE25DB601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8CB19-59F3-463B-A274-3329E0044E0E}">
  <dimension ref="B1:Q40"/>
  <sheetViews>
    <sheetView tabSelected="1" workbookViewId="0">
      <selection activeCell="Y12" sqref="Y12"/>
    </sheetView>
  </sheetViews>
  <sheetFormatPr defaultRowHeight="18"/>
  <cols>
    <col min="1" max="1" width="5.125" customWidth="1"/>
  </cols>
  <sheetData>
    <row r="1" spans="2:17" ht="15.75"/>
    <row r="2" spans="2:17" ht="15.75">
      <c r="B2" s="27" t="s">
        <v>0</v>
      </c>
      <c r="C2" s="28" t="s">
        <v>1</v>
      </c>
      <c r="D2" s="28" t="s">
        <v>2</v>
      </c>
      <c r="E2" s="28" t="s">
        <v>3</v>
      </c>
      <c r="F2" s="29" t="s">
        <v>4</v>
      </c>
      <c r="G2" s="30" t="s">
        <v>1</v>
      </c>
      <c r="H2" s="31" t="s">
        <v>2</v>
      </c>
      <c r="I2" s="31" t="s">
        <v>3</v>
      </c>
      <c r="J2" s="31" t="s">
        <v>4</v>
      </c>
      <c r="K2" s="32" t="s">
        <v>5</v>
      </c>
      <c r="L2" s="14" t="s">
        <v>6</v>
      </c>
      <c r="N2" s="1" t="s">
        <v>7</v>
      </c>
      <c r="O2" s="1">
        <v>130</v>
      </c>
      <c r="P2" s="1">
        <v>85</v>
      </c>
      <c r="Q2" s="1">
        <v>70</v>
      </c>
    </row>
    <row r="3" spans="2:17" ht="15.75">
      <c r="B3" s="17">
        <v>46167</v>
      </c>
      <c r="C3" s="15">
        <v>0.29722222222222222</v>
      </c>
      <c r="D3" s="16">
        <v>137</v>
      </c>
      <c r="E3" s="16">
        <v>97</v>
      </c>
      <c r="F3" s="18">
        <v>81</v>
      </c>
      <c r="G3" s="24">
        <v>0.90763888888888888</v>
      </c>
      <c r="H3" s="16">
        <v>146</v>
      </c>
      <c r="I3" s="16">
        <v>93</v>
      </c>
      <c r="J3" s="16">
        <v>95</v>
      </c>
      <c r="K3" s="18" t="s">
        <v>8</v>
      </c>
      <c r="N3" s="1" t="s">
        <v>9</v>
      </c>
      <c r="O3" s="1">
        <v>125</v>
      </c>
      <c r="P3" s="1">
        <v>80</v>
      </c>
      <c r="Q3" s="1">
        <v>70</v>
      </c>
    </row>
    <row r="4" spans="2:17" ht="15.75">
      <c r="B4" s="19">
        <v>46168</v>
      </c>
      <c r="C4" s="2">
        <v>0.29722222222222222</v>
      </c>
      <c r="D4" s="1">
        <v>137</v>
      </c>
      <c r="E4" s="1">
        <v>97</v>
      </c>
      <c r="F4" s="20">
        <v>81</v>
      </c>
      <c r="G4" s="25">
        <v>0.87083333333333335</v>
      </c>
      <c r="H4" s="1">
        <v>135</v>
      </c>
      <c r="I4" s="1">
        <v>102</v>
      </c>
      <c r="J4" s="1">
        <v>90</v>
      </c>
      <c r="K4" s="20" t="s">
        <v>8</v>
      </c>
    </row>
    <row r="5" spans="2:17" ht="15.75">
      <c r="B5" s="19">
        <v>46169</v>
      </c>
      <c r="C5" s="2">
        <v>0.26874999999999999</v>
      </c>
      <c r="D5" s="1">
        <v>143</v>
      </c>
      <c r="E5" s="1">
        <v>98</v>
      </c>
      <c r="F5" s="20">
        <v>80</v>
      </c>
      <c r="G5" s="25">
        <v>0.88055555555555554</v>
      </c>
      <c r="H5" s="1">
        <v>127</v>
      </c>
      <c r="I5" s="1">
        <v>92</v>
      </c>
      <c r="J5" s="1">
        <v>95</v>
      </c>
      <c r="K5" s="20" t="s">
        <v>8</v>
      </c>
    </row>
    <row r="6" spans="2:17" ht="15.75">
      <c r="B6" s="19">
        <v>46170</v>
      </c>
      <c r="C6" s="2">
        <v>0.2986111111111111</v>
      </c>
      <c r="D6" s="1">
        <v>115</v>
      </c>
      <c r="E6" s="1">
        <v>72</v>
      </c>
      <c r="F6" s="20">
        <v>81</v>
      </c>
      <c r="G6" s="25">
        <v>0.91041666666666665</v>
      </c>
      <c r="H6" s="1">
        <v>115</v>
      </c>
      <c r="I6" s="1">
        <v>80</v>
      </c>
      <c r="J6" s="1">
        <v>93</v>
      </c>
      <c r="K6" s="20" t="s">
        <v>8</v>
      </c>
    </row>
    <row r="7" spans="2:17" ht="15.75">
      <c r="B7" s="19">
        <v>46171</v>
      </c>
      <c r="C7" s="2">
        <v>0.34097222222222223</v>
      </c>
      <c r="D7" s="1">
        <v>105</v>
      </c>
      <c r="E7" s="1">
        <v>80</v>
      </c>
      <c r="F7" s="20">
        <v>84</v>
      </c>
      <c r="G7" s="25">
        <v>0.8979166666666667</v>
      </c>
      <c r="H7" s="1">
        <v>114</v>
      </c>
      <c r="I7" s="1">
        <v>80</v>
      </c>
      <c r="J7" s="1">
        <v>94</v>
      </c>
      <c r="K7" s="20" t="s">
        <v>8</v>
      </c>
    </row>
    <row r="8" spans="2:17" ht="15.75">
      <c r="B8" s="19">
        <v>46172</v>
      </c>
      <c r="C8" s="2">
        <v>0.31111111111111112</v>
      </c>
      <c r="D8" s="1">
        <v>113</v>
      </c>
      <c r="E8" s="1">
        <v>87</v>
      </c>
      <c r="F8" s="20">
        <v>80</v>
      </c>
      <c r="G8" s="25">
        <v>0.91249999999999998</v>
      </c>
      <c r="H8" s="1">
        <v>123</v>
      </c>
      <c r="I8" s="1">
        <v>89</v>
      </c>
      <c r="J8" s="1">
        <v>84</v>
      </c>
      <c r="K8" s="20" t="s">
        <v>8</v>
      </c>
    </row>
    <row r="9" spans="2:17" ht="15.75">
      <c r="B9" s="19">
        <v>46173</v>
      </c>
      <c r="C9" s="2">
        <v>0.42638888888888887</v>
      </c>
      <c r="D9" s="1">
        <v>112</v>
      </c>
      <c r="E9" s="1">
        <v>84</v>
      </c>
      <c r="F9" s="20">
        <v>79</v>
      </c>
      <c r="G9" s="25">
        <v>0.8666666666666667</v>
      </c>
      <c r="H9" s="1">
        <v>140</v>
      </c>
      <c r="I9" s="1">
        <v>91</v>
      </c>
      <c r="J9" s="1">
        <v>89</v>
      </c>
      <c r="K9" s="20" t="s">
        <v>8</v>
      </c>
    </row>
    <row r="10" spans="2:17" ht="15.75">
      <c r="B10" s="19">
        <v>46174</v>
      </c>
      <c r="C10" s="2">
        <v>0.28263888888888888</v>
      </c>
      <c r="D10" s="1">
        <v>132</v>
      </c>
      <c r="E10" s="1">
        <v>96</v>
      </c>
      <c r="F10" s="20">
        <v>86</v>
      </c>
      <c r="G10" s="25">
        <v>0.8125</v>
      </c>
      <c r="H10" s="1">
        <v>123</v>
      </c>
      <c r="I10" s="1">
        <v>88</v>
      </c>
      <c r="J10" s="1">
        <v>90</v>
      </c>
      <c r="K10" s="20" t="s">
        <v>8</v>
      </c>
    </row>
    <row r="11" spans="2:17" ht="15.75">
      <c r="B11" s="19">
        <v>46175</v>
      </c>
      <c r="C11" s="2">
        <v>0.31458333333333333</v>
      </c>
      <c r="D11" s="1">
        <v>101</v>
      </c>
      <c r="E11" s="1">
        <v>78</v>
      </c>
      <c r="F11" s="20">
        <v>79</v>
      </c>
      <c r="G11" s="25">
        <v>0.82152777777777775</v>
      </c>
      <c r="H11" s="1">
        <v>112</v>
      </c>
      <c r="I11" s="1">
        <v>87</v>
      </c>
      <c r="J11" s="1">
        <v>83</v>
      </c>
      <c r="K11" s="20" t="s">
        <v>8</v>
      </c>
    </row>
    <row r="12" spans="2:17" ht="15.75">
      <c r="B12" s="19">
        <v>46176</v>
      </c>
      <c r="C12" s="2">
        <v>0.30555555555555558</v>
      </c>
      <c r="D12" s="1">
        <v>110</v>
      </c>
      <c r="E12" s="1">
        <v>83</v>
      </c>
      <c r="F12" s="20">
        <v>79</v>
      </c>
      <c r="G12" s="25">
        <v>0.83402777777777781</v>
      </c>
      <c r="H12" s="1">
        <v>91</v>
      </c>
      <c r="I12" s="1">
        <v>68</v>
      </c>
      <c r="J12" s="1">
        <v>105</v>
      </c>
      <c r="K12" s="20" t="s">
        <v>8</v>
      </c>
    </row>
    <row r="13" spans="2:17" ht="15.75">
      <c r="B13" s="19">
        <v>46177</v>
      </c>
      <c r="C13" s="2">
        <v>0.30277777777777776</v>
      </c>
      <c r="D13" s="1">
        <v>123</v>
      </c>
      <c r="E13" s="1">
        <v>93</v>
      </c>
      <c r="F13" s="20">
        <v>83</v>
      </c>
      <c r="G13" s="25">
        <v>0.89375000000000004</v>
      </c>
      <c r="H13" s="1">
        <v>120</v>
      </c>
      <c r="I13" s="1">
        <v>80</v>
      </c>
      <c r="J13" s="1">
        <v>94</v>
      </c>
      <c r="K13" s="20" t="s">
        <v>8</v>
      </c>
    </row>
    <row r="14" spans="2:17" ht="15.75">
      <c r="B14" s="19">
        <v>46178</v>
      </c>
      <c r="C14" s="2">
        <v>0.33333333333333331</v>
      </c>
      <c r="D14" s="1">
        <v>107</v>
      </c>
      <c r="E14" s="1">
        <v>86</v>
      </c>
      <c r="F14" s="20">
        <v>73</v>
      </c>
      <c r="G14" s="25">
        <v>0.92152777777777772</v>
      </c>
      <c r="H14" s="1">
        <v>111</v>
      </c>
      <c r="I14" s="1">
        <v>83</v>
      </c>
      <c r="J14" s="1">
        <v>74</v>
      </c>
      <c r="K14" s="20" t="s">
        <v>8</v>
      </c>
    </row>
    <row r="15" spans="2:17" ht="15.75">
      <c r="B15" s="19">
        <v>46179</v>
      </c>
      <c r="C15" s="2">
        <v>0.29930555555555555</v>
      </c>
      <c r="D15" s="1">
        <v>105</v>
      </c>
      <c r="E15" s="1">
        <v>81</v>
      </c>
      <c r="F15" s="20">
        <v>66</v>
      </c>
      <c r="G15" s="25">
        <v>0.92152777777777772</v>
      </c>
      <c r="H15" s="1">
        <v>111</v>
      </c>
      <c r="I15" s="1">
        <v>83</v>
      </c>
      <c r="J15" s="1">
        <v>74</v>
      </c>
      <c r="K15" s="20" t="s">
        <v>8</v>
      </c>
    </row>
    <row r="16" spans="2:17" ht="15.75">
      <c r="B16" s="19">
        <v>46180</v>
      </c>
      <c r="C16" s="2">
        <v>0.29930555555555555</v>
      </c>
      <c r="D16" s="1">
        <v>105</v>
      </c>
      <c r="E16" s="1">
        <v>81</v>
      </c>
      <c r="F16" s="20">
        <v>66</v>
      </c>
      <c r="G16" s="25">
        <v>0.79166666666666663</v>
      </c>
      <c r="H16" s="1">
        <v>139</v>
      </c>
      <c r="I16" s="1">
        <v>99</v>
      </c>
      <c r="J16" s="1">
        <v>69</v>
      </c>
      <c r="K16" s="20" t="s">
        <v>10</v>
      </c>
      <c r="L16" t="s">
        <v>11</v>
      </c>
    </row>
    <row r="17" spans="2:12" ht="15.75">
      <c r="B17" s="19">
        <v>46181</v>
      </c>
      <c r="C17" s="2">
        <v>0.28958333333333336</v>
      </c>
      <c r="D17" s="1">
        <v>130</v>
      </c>
      <c r="E17" s="1">
        <v>94</v>
      </c>
      <c r="F17" s="20">
        <v>73</v>
      </c>
      <c r="G17" s="25">
        <v>0.87638888888888888</v>
      </c>
      <c r="H17" s="1">
        <v>112</v>
      </c>
      <c r="I17" s="1">
        <v>79</v>
      </c>
      <c r="J17" s="1">
        <v>70</v>
      </c>
      <c r="K17" s="20" t="s">
        <v>8</v>
      </c>
    </row>
    <row r="18" spans="2:12" ht="15.75">
      <c r="B18" s="19">
        <v>46182</v>
      </c>
      <c r="C18" s="2">
        <v>0.29791666666666666</v>
      </c>
      <c r="D18" s="1">
        <v>120</v>
      </c>
      <c r="E18" s="1">
        <v>84</v>
      </c>
      <c r="F18" s="20">
        <v>65</v>
      </c>
      <c r="G18" s="25">
        <v>0.96527777777777779</v>
      </c>
      <c r="H18" s="1">
        <v>77</v>
      </c>
      <c r="I18" s="1">
        <v>55</v>
      </c>
      <c r="J18" s="1">
        <v>80</v>
      </c>
      <c r="K18" s="20" t="s">
        <v>8</v>
      </c>
      <c r="L18" t="s">
        <v>12</v>
      </c>
    </row>
    <row r="19" spans="2:12" ht="15.75">
      <c r="B19" s="19">
        <v>46183</v>
      </c>
      <c r="C19" s="2">
        <v>0.2902777777777778</v>
      </c>
      <c r="D19" s="1">
        <v>109</v>
      </c>
      <c r="E19" s="1">
        <v>82</v>
      </c>
      <c r="F19" s="20">
        <v>73</v>
      </c>
      <c r="G19" s="25">
        <v>0.85416666666666663</v>
      </c>
      <c r="H19" s="1">
        <v>117</v>
      </c>
      <c r="I19" s="1">
        <v>84</v>
      </c>
      <c r="J19" s="1">
        <v>78</v>
      </c>
      <c r="K19" s="20" t="s">
        <v>8</v>
      </c>
    </row>
    <row r="20" spans="2:12" ht="15.75">
      <c r="B20" s="19">
        <v>46184</v>
      </c>
      <c r="C20" s="2">
        <v>0.3034722222222222</v>
      </c>
      <c r="D20" s="1">
        <v>114</v>
      </c>
      <c r="E20" s="1">
        <v>85</v>
      </c>
      <c r="F20" s="20">
        <v>77</v>
      </c>
      <c r="G20" s="25">
        <v>0.85416666666666663</v>
      </c>
      <c r="H20" s="1">
        <v>117</v>
      </c>
      <c r="I20" s="1">
        <v>84</v>
      </c>
      <c r="J20" s="1">
        <v>78</v>
      </c>
      <c r="K20" s="20" t="s">
        <v>8</v>
      </c>
    </row>
    <row r="21" spans="2:12" ht="15.75">
      <c r="B21" s="19">
        <v>46185</v>
      </c>
      <c r="C21" s="2">
        <v>0.34166666666666667</v>
      </c>
      <c r="D21" s="1">
        <v>119</v>
      </c>
      <c r="E21" s="1">
        <v>86</v>
      </c>
      <c r="F21" s="20">
        <v>68</v>
      </c>
      <c r="G21" s="25">
        <v>0.78402777777777777</v>
      </c>
      <c r="H21" s="1">
        <v>126</v>
      </c>
      <c r="I21" s="1">
        <v>85</v>
      </c>
      <c r="J21" s="1">
        <v>74</v>
      </c>
      <c r="K21" s="20" t="s">
        <v>8</v>
      </c>
    </row>
    <row r="22" spans="2:12" ht="15.75">
      <c r="B22" s="19">
        <v>46186</v>
      </c>
      <c r="C22" s="2">
        <v>0.19583333333333333</v>
      </c>
      <c r="D22" s="1">
        <v>118</v>
      </c>
      <c r="E22" s="1">
        <v>93</v>
      </c>
      <c r="F22" s="20">
        <v>70</v>
      </c>
      <c r="G22" s="25">
        <v>0.92222222222222228</v>
      </c>
      <c r="H22" s="1">
        <v>116</v>
      </c>
      <c r="I22" s="1">
        <v>79</v>
      </c>
      <c r="J22" s="1">
        <v>81</v>
      </c>
      <c r="K22" s="20" t="s">
        <v>8</v>
      </c>
    </row>
    <row r="23" spans="2:12" ht="15.75">
      <c r="B23" s="19">
        <v>46187</v>
      </c>
      <c r="C23" s="2">
        <v>0.37638888888888888</v>
      </c>
      <c r="D23" s="1">
        <v>123</v>
      </c>
      <c r="E23" s="1">
        <v>87</v>
      </c>
      <c r="F23" s="20">
        <v>67</v>
      </c>
      <c r="G23" s="25">
        <v>0.61736111111111114</v>
      </c>
      <c r="H23" s="1">
        <v>117</v>
      </c>
      <c r="I23" s="1">
        <v>83</v>
      </c>
      <c r="J23" s="1">
        <v>75</v>
      </c>
      <c r="K23" s="20" t="s">
        <v>8</v>
      </c>
    </row>
    <row r="24" spans="2:12" ht="15.75">
      <c r="B24" s="19">
        <v>46188</v>
      </c>
      <c r="C24" s="2">
        <v>0.28888888888888886</v>
      </c>
      <c r="D24" s="1">
        <v>117</v>
      </c>
      <c r="E24" s="1">
        <v>89</v>
      </c>
      <c r="F24" s="20">
        <v>72</v>
      </c>
      <c r="G24" s="25">
        <v>0.87083333333333335</v>
      </c>
      <c r="H24" s="1">
        <v>130</v>
      </c>
      <c r="I24" s="1">
        <v>93</v>
      </c>
      <c r="J24" s="1">
        <v>73</v>
      </c>
      <c r="K24" s="20" t="s">
        <v>8</v>
      </c>
    </row>
    <row r="25" spans="2:12" ht="15.75">
      <c r="B25" s="19">
        <v>46189</v>
      </c>
      <c r="C25" s="2">
        <v>0.2951388888888889</v>
      </c>
      <c r="D25" s="1">
        <v>117</v>
      </c>
      <c r="E25" s="1">
        <v>87</v>
      </c>
      <c r="F25" s="20">
        <v>63</v>
      </c>
      <c r="G25" s="14"/>
      <c r="H25" s="1"/>
      <c r="I25" s="1"/>
      <c r="J25" s="1"/>
      <c r="K25" s="20" t="s">
        <v>8</v>
      </c>
    </row>
    <row r="26" spans="2:12" ht="15.75">
      <c r="B26" s="19">
        <v>46190</v>
      </c>
      <c r="C26" s="1"/>
      <c r="D26" s="1"/>
      <c r="E26" s="1"/>
      <c r="F26" s="20"/>
      <c r="G26" s="14"/>
      <c r="H26" s="1"/>
      <c r="I26" s="1"/>
      <c r="J26" s="1"/>
      <c r="K26" s="20"/>
    </row>
    <row r="27" spans="2:12" ht="15.75">
      <c r="B27" s="19">
        <v>46191</v>
      </c>
      <c r="C27" s="1"/>
      <c r="D27" s="1"/>
      <c r="E27" s="1"/>
      <c r="F27" s="20"/>
      <c r="G27" s="14"/>
      <c r="H27" s="1"/>
      <c r="I27" s="1"/>
      <c r="J27" s="1"/>
      <c r="K27" s="20"/>
    </row>
    <row r="28" spans="2:12" ht="15.75">
      <c r="B28" s="19">
        <v>46192</v>
      </c>
      <c r="C28" s="1"/>
      <c r="D28" s="1"/>
      <c r="E28" s="1"/>
      <c r="F28" s="20"/>
      <c r="G28" s="14"/>
      <c r="H28" s="1"/>
      <c r="I28" s="1"/>
      <c r="J28" s="1"/>
      <c r="K28" s="20"/>
    </row>
    <row r="29" spans="2:12" ht="15.75">
      <c r="B29" s="19">
        <v>46193</v>
      </c>
      <c r="C29" s="1"/>
      <c r="D29" s="1"/>
      <c r="E29" s="1"/>
      <c r="F29" s="20"/>
      <c r="G29" s="14"/>
      <c r="H29" s="1"/>
      <c r="I29" s="1"/>
      <c r="J29" s="1"/>
      <c r="K29" s="20"/>
    </row>
    <row r="30" spans="2:12" ht="15.75">
      <c r="B30" s="19">
        <v>46194</v>
      </c>
      <c r="C30" s="1"/>
      <c r="D30" s="1"/>
      <c r="E30" s="1"/>
      <c r="F30" s="20"/>
      <c r="G30" s="14"/>
      <c r="H30" s="1"/>
      <c r="I30" s="1"/>
      <c r="J30" s="1"/>
      <c r="K30" s="20"/>
    </row>
    <row r="31" spans="2:12" ht="15.75">
      <c r="B31" s="19">
        <v>46195</v>
      </c>
      <c r="C31" s="1"/>
      <c r="D31" s="1"/>
      <c r="E31" s="1"/>
      <c r="F31" s="20"/>
      <c r="G31" s="14"/>
      <c r="H31" s="1"/>
      <c r="I31" s="1"/>
      <c r="J31" s="1"/>
      <c r="K31" s="20"/>
    </row>
    <row r="32" spans="2:12" ht="15.75">
      <c r="B32" s="19">
        <v>46196</v>
      </c>
      <c r="C32" s="1"/>
      <c r="D32" s="1"/>
      <c r="E32" s="1"/>
      <c r="F32" s="20"/>
      <c r="G32" s="14"/>
      <c r="H32" s="1"/>
      <c r="I32" s="1"/>
      <c r="J32" s="1"/>
      <c r="K32" s="20"/>
    </row>
    <row r="33" spans="2:11" ht="15.75">
      <c r="B33" s="19">
        <v>46197</v>
      </c>
      <c r="C33" s="1"/>
      <c r="D33" s="1"/>
      <c r="E33" s="1"/>
      <c r="F33" s="20"/>
      <c r="G33" s="14"/>
      <c r="H33" s="1"/>
      <c r="I33" s="1"/>
      <c r="J33" s="1"/>
      <c r="K33" s="20"/>
    </row>
    <row r="34" spans="2:11" ht="15.75">
      <c r="B34" s="19">
        <v>46198</v>
      </c>
      <c r="C34" s="1"/>
      <c r="D34" s="1"/>
      <c r="E34" s="1"/>
      <c r="F34" s="20"/>
      <c r="G34" s="14"/>
      <c r="H34" s="1"/>
      <c r="I34" s="1"/>
      <c r="J34" s="1"/>
      <c r="K34" s="20"/>
    </row>
    <row r="35" spans="2:11" ht="15.75">
      <c r="B35" s="19">
        <v>46199</v>
      </c>
      <c r="C35" s="1"/>
      <c r="D35" s="1"/>
      <c r="E35" s="1"/>
      <c r="F35" s="20"/>
      <c r="G35" s="14"/>
      <c r="H35" s="1"/>
      <c r="I35" s="1"/>
      <c r="J35" s="1"/>
      <c r="K35" s="20"/>
    </row>
    <row r="36" spans="2:11" ht="15.75">
      <c r="B36" s="19">
        <v>46200</v>
      </c>
      <c r="C36" s="1"/>
      <c r="D36" s="1"/>
      <c r="E36" s="1"/>
      <c r="F36" s="20"/>
      <c r="G36" s="14"/>
      <c r="H36" s="1"/>
      <c r="I36" s="1"/>
      <c r="J36" s="1"/>
      <c r="K36" s="20"/>
    </row>
    <row r="37" spans="2:11" ht="15.75">
      <c r="B37" s="19">
        <v>46201</v>
      </c>
      <c r="C37" s="1"/>
      <c r="D37" s="1"/>
      <c r="E37" s="1"/>
      <c r="F37" s="20"/>
      <c r="G37" s="14"/>
      <c r="H37" s="1"/>
      <c r="I37" s="1"/>
      <c r="J37" s="1"/>
      <c r="K37" s="20"/>
    </row>
    <row r="38" spans="2:11" ht="15.75">
      <c r="B38" s="19">
        <v>46202</v>
      </c>
      <c r="C38" s="1"/>
      <c r="D38" s="1"/>
      <c r="E38" s="1"/>
      <c r="F38" s="20"/>
      <c r="G38" s="14"/>
      <c r="H38" s="1"/>
      <c r="I38" s="1"/>
      <c r="J38" s="1"/>
      <c r="K38" s="20"/>
    </row>
    <row r="39" spans="2:11" ht="15.75">
      <c r="B39" s="21">
        <v>46203</v>
      </c>
      <c r="C39" s="22"/>
      <c r="D39" s="22"/>
      <c r="E39" s="22"/>
      <c r="F39" s="23"/>
      <c r="G39" s="26"/>
      <c r="H39" s="22"/>
      <c r="I39" s="22"/>
      <c r="J39" s="22"/>
      <c r="K39" s="23"/>
    </row>
    <row r="40" spans="2:11" ht="15.75"/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E4DC-4682-4A6E-83F0-F181F58890D8}">
  <dimension ref="A1:E38"/>
  <sheetViews>
    <sheetView workbookViewId="0"/>
  </sheetViews>
  <sheetFormatPr defaultRowHeight="18"/>
  <sheetData>
    <row r="1" spans="1: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>
      <c r="A2" s="13">
        <f>記録!B3</f>
        <v>46167</v>
      </c>
      <c r="B2">
        <f>記録!D3</f>
        <v>137</v>
      </c>
      <c r="C2">
        <f>記録!E3</f>
        <v>97</v>
      </c>
      <c r="D2">
        <f>記録!H3</f>
        <v>146</v>
      </c>
      <c r="E2">
        <f>記録!I3</f>
        <v>93</v>
      </c>
    </row>
    <row r="3" spans="1:5">
      <c r="A3" s="13">
        <f>記録!B4</f>
        <v>46168</v>
      </c>
      <c r="B3">
        <f>記録!D4</f>
        <v>137</v>
      </c>
      <c r="C3">
        <f>記録!E4</f>
        <v>97</v>
      </c>
      <c r="D3">
        <f>記録!H4</f>
        <v>135</v>
      </c>
      <c r="E3">
        <f>記録!I4</f>
        <v>102</v>
      </c>
    </row>
    <row r="4" spans="1:5">
      <c r="A4" s="13">
        <f>記録!B5</f>
        <v>46169</v>
      </c>
      <c r="B4">
        <f>記録!D5</f>
        <v>143</v>
      </c>
      <c r="C4">
        <f>記録!E5</f>
        <v>98</v>
      </c>
      <c r="D4">
        <f>記録!H5</f>
        <v>127</v>
      </c>
      <c r="E4">
        <f>記録!I5</f>
        <v>92</v>
      </c>
    </row>
    <row r="5" spans="1:5">
      <c r="A5" s="13">
        <f>記録!B6</f>
        <v>46170</v>
      </c>
      <c r="B5">
        <f>記録!D6</f>
        <v>115</v>
      </c>
      <c r="C5">
        <f>記録!E6</f>
        <v>72</v>
      </c>
      <c r="D5">
        <f>記録!H6</f>
        <v>115</v>
      </c>
      <c r="E5">
        <f>記録!I6</f>
        <v>80</v>
      </c>
    </row>
    <row r="6" spans="1:5">
      <c r="A6" s="13">
        <f>記録!B7</f>
        <v>46171</v>
      </c>
      <c r="B6">
        <f>記録!D7</f>
        <v>105</v>
      </c>
      <c r="C6">
        <f>記録!E7</f>
        <v>80</v>
      </c>
      <c r="D6">
        <f>記録!H7</f>
        <v>114</v>
      </c>
      <c r="E6">
        <f>記録!I7</f>
        <v>80</v>
      </c>
    </row>
    <row r="7" spans="1:5">
      <c r="A7" s="13">
        <f>記録!B8</f>
        <v>46172</v>
      </c>
      <c r="B7">
        <f>記録!D8</f>
        <v>113</v>
      </c>
      <c r="C7">
        <f>記録!E8</f>
        <v>87</v>
      </c>
      <c r="D7">
        <f>記録!H8</f>
        <v>123</v>
      </c>
      <c r="E7">
        <f>記録!I8</f>
        <v>89</v>
      </c>
    </row>
    <row r="8" spans="1:5">
      <c r="A8" s="13">
        <f>記録!B9</f>
        <v>46173</v>
      </c>
      <c r="B8">
        <f>記録!D9</f>
        <v>112</v>
      </c>
      <c r="C8">
        <f>記録!E9</f>
        <v>84</v>
      </c>
      <c r="D8">
        <f>記録!H9</f>
        <v>140</v>
      </c>
      <c r="E8">
        <f>記録!I9</f>
        <v>91</v>
      </c>
    </row>
    <row r="9" spans="1:5">
      <c r="A9" s="13">
        <f>記録!B10</f>
        <v>46174</v>
      </c>
      <c r="B9">
        <f>記録!D10</f>
        <v>132</v>
      </c>
      <c r="C9">
        <f>記録!E10</f>
        <v>96</v>
      </c>
      <c r="D9">
        <f>記録!H10</f>
        <v>123</v>
      </c>
      <c r="E9">
        <f>記録!I10</f>
        <v>88</v>
      </c>
    </row>
    <row r="10" spans="1:5">
      <c r="A10" s="13">
        <f>記録!B11</f>
        <v>46175</v>
      </c>
      <c r="B10">
        <f>記録!D11</f>
        <v>101</v>
      </c>
      <c r="C10">
        <f>記録!E11</f>
        <v>78</v>
      </c>
      <c r="D10">
        <f>記録!H11</f>
        <v>112</v>
      </c>
      <c r="E10">
        <f>記録!I11</f>
        <v>87</v>
      </c>
    </row>
    <row r="11" spans="1:5">
      <c r="A11" s="13">
        <f>記録!B12</f>
        <v>46176</v>
      </c>
      <c r="B11">
        <f>記録!D12</f>
        <v>110</v>
      </c>
      <c r="C11">
        <f>記録!E12</f>
        <v>83</v>
      </c>
      <c r="D11">
        <f>記録!H12</f>
        <v>91</v>
      </c>
      <c r="E11">
        <f>記録!I12</f>
        <v>68</v>
      </c>
    </row>
    <row r="12" spans="1:5">
      <c r="A12" s="13">
        <f>記録!B13</f>
        <v>46177</v>
      </c>
      <c r="B12">
        <f>記録!D13</f>
        <v>123</v>
      </c>
      <c r="C12">
        <f>記録!E13</f>
        <v>93</v>
      </c>
      <c r="D12">
        <f>記録!H13</f>
        <v>120</v>
      </c>
      <c r="E12">
        <f>記録!I13</f>
        <v>80</v>
      </c>
    </row>
    <row r="13" spans="1:5">
      <c r="A13" s="13">
        <f>記録!B14</f>
        <v>46178</v>
      </c>
      <c r="B13">
        <f>記録!D14</f>
        <v>107</v>
      </c>
      <c r="C13">
        <f>記録!E14</f>
        <v>86</v>
      </c>
      <c r="D13">
        <f>記録!H14</f>
        <v>111</v>
      </c>
      <c r="E13">
        <f>記録!I14</f>
        <v>83</v>
      </c>
    </row>
    <row r="14" spans="1:5">
      <c r="A14" s="13">
        <f>記録!B15</f>
        <v>46179</v>
      </c>
      <c r="B14">
        <f>記録!D15</f>
        <v>105</v>
      </c>
      <c r="C14">
        <f>記録!E15</f>
        <v>81</v>
      </c>
      <c r="D14">
        <f>記録!H15</f>
        <v>111</v>
      </c>
      <c r="E14">
        <f>記録!I15</f>
        <v>83</v>
      </c>
    </row>
    <row r="15" spans="1:5">
      <c r="A15" s="13">
        <f>記録!B16</f>
        <v>46180</v>
      </c>
      <c r="B15">
        <f>記録!D16</f>
        <v>105</v>
      </c>
      <c r="C15">
        <f>記録!E16</f>
        <v>81</v>
      </c>
      <c r="D15">
        <f>記録!H16</f>
        <v>139</v>
      </c>
      <c r="E15">
        <f>記録!I16</f>
        <v>99</v>
      </c>
    </row>
    <row r="16" spans="1:5">
      <c r="A16" s="13">
        <f>記録!B17</f>
        <v>46181</v>
      </c>
      <c r="B16">
        <f>記録!D17</f>
        <v>130</v>
      </c>
      <c r="C16">
        <f>記録!E17</f>
        <v>94</v>
      </c>
      <c r="D16">
        <f>記録!H17</f>
        <v>112</v>
      </c>
      <c r="E16">
        <f>記録!I17</f>
        <v>79</v>
      </c>
    </row>
    <row r="17" spans="1:5">
      <c r="A17" s="13">
        <f>記録!B18</f>
        <v>46182</v>
      </c>
      <c r="B17">
        <f>記録!D18</f>
        <v>120</v>
      </c>
      <c r="C17">
        <f>記録!E18</f>
        <v>84</v>
      </c>
      <c r="D17">
        <f>記録!H18</f>
        <v>77</v>
      </c>
      <c r="E17">
        <f>記録!I18</f>
        <v>55</v>
      </c>
    </row>
    <row r="18" spans="1:5">
      <c r="A18" s="13">
        <f>記録!B19</f>
        <v>46183</v>
      </c>
      <c r="B18">
        <v>90</v>
      </c>
      <c r="C18">
        <f>記録!E19</f>
        <v>82</v>
      </c>
      <c r="D18">
        <f>記録!H19</f>
        <v>117</v>
      </c>
      <c r="E18">
        <f>記録!I19</f>
        <v>84</v>
      </c>
    </row>
    <row r="19" spans="1:5">
      <c r="A19" s="13">
        <f>記録!B20</f>
        <v>46184</v>
      </c>
      <c r="B19">
        <f>記録!D20</f>
        <v>114</v>
      </c>
      <c r="C19">
        <f>記録!E20</f>
        <v>85</v>
      </c>
      <c r="D19">
        <f>記録!H20</f>
        <v>117</v>
      </c>
      <c r="E19">
        <f>記録!I20</f>
        <v>84</v>
      </c>
    </row>
    <row r="20" spans="1:5">
      <c r="A20" s="13">
        <f>記録!B21</f>
        <v>46185</v>
      </c>
      <c r="B20">
        <f>記録!D21</f>
        <v>119</v>
      </c>
      <c r="C20">
        <f>記録!E21</f>
        <v>86</v>
      </c>
      <c r="D20">
        <f>記録!H21</f>
        <v>126</v>
      </c>
      <c r="E20">
        <f>記録!I21</f>
        <v>85</v>
      </c>
    </row>
    <row r="21" spans="1:5">
      <c r="A21" s="13">
        <f>記録!B22</f>
        <v>46186</v>
      </c>
      <c r="B21">
        <f>記録!D22</f>
        <v>118</v>
      </c>
      <c r="C21">
        <f>記録!E22</f>
        <v>93</v>
      </c>
      <c r="D21">
        <f>記録!H22</f>
        <v>116</v>
      </c>
      <c r="E21">
        <f>記録!I22</f>
        <v>79</v>
      </c>
    </row>
    <row r="22" spans="1:5">
      <c r="A22" s="13">
        <f>記録!B23</f>
        <v>46187</v>
      </c>
      <c r="B22">
        <f>記録!D23</f>
        <v>123</v>
      </c>
      <c r="C22">
        <f>記録!E23</f>
        <v>87</v>
      </c>
      <c r="D22">
        <f>記録!H23</f>
        <v>117</v>
      </c>
      <c r="E22">
        <f>記録!I23</f>
        <v>83</v>
      </c>
    </row>
    <row r="23" spans="1:5">
      <c r="A23" s="13">
        <f>記録!B24</f>
        <v>46188</v>
      </c>
      <c r="B23">
        <f>記録!D24</f>
        <v>117</v>
      </c>
      <c r="C23">
        <f>記録!E24</f>
        <v>89</v>
      </c>
      <c r="D23">
        <f>記録!H24</f>
        <v>130</v>
      </c>
      <c r="E23">
        <f>記録!I24</f>
        <v>93</v>
      </c>
    </row>
    <row r="24" spans="1:5">
      <c r="A24" s="13">
        <f>記録!B25</f>
        <v>46189</v>
      </c>
      <c r="B24">
        <f>記録!D25</f>
        <v>117</v>
      </c>
      <c r="C24">
        <f>記録!E25</f>
        <v>87</v>
      </c>
      <c r="D24">
        <f>記録!H25</f>
        <v>0</v>
      </c>
      <c r="E24">
        <f>記録!I25</f>
        <v>0</v>
      </c>
    </row>
    <row r="25" spans="1:5">
      <c r="A25" s="13">
        <f>記録!B26</f>
        <v>46190</v>
      </c>
      <c r="B25">
        <f>記録!D26</f>
        <v>0</v>
      </c>
      <c r="C25">
        <f>記録!E26</f>
        <v>0</v>
      </c>
      <c r="D25">
        <f>記録!H26</f>
        <v>0</v>
      </c>
      <c r="E25">
        <f>記録!I26</f>
        <v>0</v>
      </c>
    </row>
    <row r="26" spans="1:5">
      <c r="A26" s="13">
        <f>記録!B27</f>
        <v>46191</v>
      </c>
      <c r="B26">
        <f>記録!D27</f>
        <v>0</v>
      </c>
      <c r="C26">
        <f>記録!E27</f>
        <v>0</v>
      </c>
      <c r="D26">
        <f>記録!H27</f>
        <v>0</v>
      </c>
      <c r="E26">
        <f>記録!I27</f>
        <v>0</v>
      </c>
    </row>
    <row r="27" spans="1:5">
      <c r="A27" s="13">
        <f>記録!B28</f>
        <v>46192</v>
      </c>
      <c r="B27">
        <f>記録!D28</f>
        <v>0</v>
      </c>
      <c r="C27">
        <f>記録!E28</f>
        <v>0</v>
      </c>
      <c r="D27">
        <f>記録!H28</f>
        <v>0</v>
      </c>
      <c r="E27">
        <f>記録!I28</f>
        <v>0</v>
      </c>
    </row>
    <row r="28" spans="1:5">
      <c r="A28" s="13">
        <f>記録!B29</f>
        <v>46193</v>
      </c>
      <c r="B28">
        <f>記録!D29</f>
        <v>0</v>
      </c>
      <c r="C28">
        <f>記録!E29</f>
        <v>0</v>
      </c>
      <c r="D28">
        <f>記録!H29</f>
        <v>0</v>
      </c>
      <c r="E28">
        <f>記録!I29</f>
        <v>0</v>
      </c>
    </row>
    <row r="29" spans="1:5">
      <c r="A29" s="13">
        <f>記録!B30</f>
        <v>46194</v>
      </c>
      <c r="B29">
        <f>記録!D30</f>
        <v>0</v>
      </c>
      <c r="C29">
        <f>記録!E30</f>
        <v>0</v>
      </c>
      <c r="D29">
        <f>記録!H30</f>
        <v>0</v>
      </c>
      <c r="E29">
        <f>記録!I30</f>
        <v>0</v>
      </c>
    </row>
    <row r="30" spans="1:5">
      <c r="A30" s="13">
        <f>記録!B31</f>
        <v>46195</v>
      </c>
      <c r="B30">
        <f>記録!D31</f>
        <v>0</v>
      </c>
      <c r="C30">
        <f>記録!E31</f>
        <v>0</v>
      </c>
      <c r="D30">
        <f>記録!H31</f>
        <v>0</v>
      </c>
      <c r="E30">
        <f>記録!I31</f>
        <v>0</v>
      </c>
    </row>
    <row r="31" spans="1:5">
      <c r="A31" s="13">
        <f>記録!B32</f>
        <v>46196</v>
      </c>
      <c r="B31">
        <f>記録!D32</f>
        <v>0</v>
      </c>
      <c r="C31">
        <f>記録!E32</f>
        <v>0</v>
      </c>
      <c r="D31">
        <f>記録!H32</f>
        <v>0</v>
      </c>
      <c r="E31">
        <f>記録!I32</f>
        <v>0</v>
      </c>
    </row>
    <row r="32" spans="1:5">
      <c r="A32" s="13">
        <f>記録!B33</f>
        <v>46197</v>
      </c>
      <c r="B32">
        <f>記録!D33</f>
        <v>0</v>
      </c>
      <c r="C32">
        <f>記録!E33</f>
        <v>0</v>
      </c>
      <c r="D32">
        <f>記録!H33</f>
        <v>0</v>
      </c>
      <c r="E32">
        <f>記録!I33</f>
        <v>0</v>
      </c>
    </row>
    <row r="33" spans="1:5">
      <c r="A33" s="13">
        <f>記録!B34</f>
        <v>46198</v>
      </c>
      <c r="B33">
        <f>記録!D34</f>
        <v>0</v>
      </c>
      <c r="C33">
        <f>記録!E34</f>
        <v>0</v>
      </c>
      <c r="D33">
        <f>記録!H34</f>
        <v>0</v>
      </c>
      <c r="E33">
        <f>記録!I34</f>
        <v>0</v>
      </c>
    </row>
    <row r="34" spans="1:5">
      <c r="A34" s="13">
        <f>記録!B35</f>
        <v>46199</v>
      </c>
      <c r="B34">
        <f>記録!D35</f>
        <v>0</v>
      </c>
      <c r="C34">
        <f>記録!E35</f>
        <v>0</v>
      </c>
      <c r="D34">
        <f>記録!H35</f>
        <v>0</v>
      </c>
      <c r="E34">
        <f>記録!I35</f>
        <v>0</v>
      </c>
    </row>
    <row r="35" spans="1:5">
      <c r="A35" s="13">
        <f>記録!B36</f>
        <v>46200</v>
      </c>
      <c r="B35">
        <f>記録!D36</f>
        <v>0</v>
      </c>
      <c r="C35">
        <f>記録!E36</f>
        <v>0</v>
      </c>
      <c r="D35">
        <f>記録!H36</f>
        <v>0</v>
      </c>
      <c r="E35">
        <f>記録!I36</f>
        <v>0</v>
      </c>
    </row>
    <row r="36" spans="1:5">
      <c r="A36" s="13">
        <f>記録!B37</f>
        <v>46201</v>
      </c>
      <c r="B36">
        <f>記録!D37</f>
        <v>0</v>
      </c>
      <c r="C36">
        <f>記録!E37</f>
        <v>0</v>
      </c>
      <c r="D36">
        <f>記録!H37</f>
        <v>0</v>
      </c>
      <c r="E36">
        <f>記録!I37</f>
        <v>0</v>
      </c>
    </row>
    <row r="37" spans="1:5">
      <c r="A37" s="13">
        <f>記録!B38</f>
        <v>46202</v>
      </c>
      <c r="B37">
        <f>記録!D38</f>
        <v>0</v>
      </c>
      <c r="C37">
        <f>記録!E38</f>
        <v>0</v>
      </c>
      <c r="D37">
        <f>記録!H38</f>
        <v>0</v>
      </c>
      <c r="E37">
        <f>記録!I38</f>
        <v>0</v>
      </c>
    </row>
    <row r="38" spans="1:5">
      <c r="A38" s="13">
        <f>記録!B39</f>
        <v>46203</v>
      </c>
      <c r="B38">
        <f>記録!D39</f>
        <v>0</v>
      </c>
      <c r="C38">
        <f>記録!E39</f>
        <v>0</v>
      </c>
      <c r="D38">
        <f>記録!H39</f>
        <v>0</v>
      </c>
      <c r="E38">
        <f>記録!I39</f>
        <v>0</v>
      </c>
    </row>
  </sheetData>
  <phoneticPr fontId="1"/>
  <conditionalFormatting sqref="K23">
    <cfRule type="expression" priority="14">
      <formula>$B2&gt;=150</formula>
    </cfRule>
  </conditionalFormatting>
  <conditionalFormatting sqref="B2:B38 D2:D38">
    <cfRule type="expression" dxfId="5" priority="3">
      <formula>AND($B2&gt;=110,$B2&lt;120)</formula>
    </cfRule>
    <cfRule type="expression" dxfId="4" priority="4">
      <formula>AND($B2&gt;=120,$B2&lt;130)</formula>
    </cfRule>
    <cfRule type="expression" dxfId="3" priority="5">
      <formula>AND($B2&gt;=130,$B2&lt;140)</formula>
    </cfRule>
    <cfRule type="expression" dxfId="2" priority="6">
      <formula>AND($B2&gt;=140,$B2&lt;150)</formula>
    </cfRule>
    <cfRule type="expression" dxfId="1" priority="7">
      <formula>$B2&gt;=150</formula>
    </cfRule>
  </conditionalFormatting>
  <conditionalFormatting sqref="C2:C38 E2:E38">
    <cfRule type="expression" dxfId="0" priority="1">
      <formula>$C3&gt;=90</formula>
    </cfRule>
  </conditionalFormatting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C02F6-5BD3-47A5-AB77-9BEB92B8FF77}">
  <dimension ref="B1:C8"/>
  <sheetViews>
    <sheetView workbookViewId="0"/>
  </sheetViews>
  <sheetFormatPr defaultRowHeight="18"/>
  <cols>
    <col min="1" max="1" width="4.25" customWidth="1"/>
    <col min="2" max="2" width="14.375" bestFit="1" customWidth="1"/>
  </cols>
  <sheetData>
    <row r="1" spans="2:3" ht="18.600000000000001" thickBot="1"/>
    <row r="2" spans="2:3" ht="18.600000000000001" thickBot="1">
      <c r="B2" s="11" t="s">
        <v>18</v>
      </c>
      <c r="C2" s="12" t="s">
        <v>19</v>
      </c>
    </row>
    <row r="3" spans="2:3">
      <c r="B3" s="9" t="s">
        <v>20</v>
      </c>
      <c r="C3" s="10">
        <f>AVERAGE(記録!D3:D39)</f>
        <v>117.91304347826087</v>
      </c>
    </row>
    <row r="4" spans="2:3">
      <c r="B4" s="3" t="s">
        <v>21</v>
      </c>
      <c r="C4" s="4">
        <f>AVERAGE(記録!E3:E39)</f>
        <v>86.956521739130437</v>
      </c>
    </row>
    <row r="5" spans="2:3" ht="18.600000000000001" thickBot="1">
      <c r="B5" s="5" t="s">
        <v>22</v>
      </c>
      <c r="C5" s="6">
        <f>AVERAGE(記録!F5:F41)</f>
        <v>74.476190476190482</v>
      </c>
    </row>
    <row r="6" spans="2:3">
      <c r="B6" s="7" t="s">
        <v>23</v>
      </c>
      <c r="C6" s="8">
        <f>AVERAGE(記録!H6:H42)</f>
        <v>116.36842105263158</v>
      </c>
    </row>
    <row r="7" spans="2:3">
      <c r="B7" s="3" t="s">
        <v>24</v>
      </c>
      <c r="C7" s="4">
        <f>AVERAGE(記録!I7:I43)</f>
        <v>82.777777777777771</v>
      </c>
    </row>
    <row r="8" spans="2:3" ht="18.600000000000001" thickBot="1">
      <c r="B8" s="5" t="s">
        <v>25</v>
      </c>
      <c r="C8" s="6">
        <f>AVERAGE(記録!J8:J44)</f>
        <v>80.647058823529406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湯口　浩充</dc:creator>
  <cp:keywords/>
  <dc:description/>
  <cp:lastModifiedBy>湯口　浩充</cp:lastModifiedBy>
  <cp:revision/>
  <dcterms:created xsi:type="dcterms:W3CDTF">2026-06-09T01:58:56Z</dcterms:created>
  <dcterms:modified xsi:type="dcterms:W3CDTF">2026-06-16T00:30:58Z</dcterms:modified>
  <cp:category/>
  <cp:contentStatus/>
</cp:coreProperties>
</file>